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dl\proj\AT-BiH-Proposals-27-29\docs_for_guenther\"/>
    </mc:Choice>
  </mc:AlternateContent>
  <xr:revisionPtr revIDLastSave="0" documentId="13_ncr:1_{60EAF6D7-9678-4359-92B1-95C0A715AC5E}" xr6:coauthVersionLast="47" xr6:coauthVersionMax="47" xr10:uidLastSave="{00000000-0000-0000-0000-000000000000}"/>
  <bookViews>
    <workbookView xWindow="192" yWindow="1836" windowWidth="21252" windowHeight="21288" xr2:uid="{973348A5-EF7E-40B5-BD40-7EB5CB1B721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8" i="1"/>
  <c r="H13" i="1"/>
  <c r="H12" i="1"/>
  <c r="H9" i="1"/>
  <c r="H10" i="1"/>
  <c r="H11" i="1"/>
  <c r="H14" i="1"/>
  <c r="H30" i="1"/>
  <c r="H15" i="1" l="1"/>
  <c r="H24" i="1" s="1"/>
</calcChain>
</file>

<file path=xl/sharedStrings.xml><?xml version="1.0" encoding="utf-8"?>
<sst xmlns="http://schemas.openxmlformats.org/spreadsheetml/2006/main" count="48" uniqueCount="32">
  <si>
    <t>1.</t>
  </si>
  <si>
    <t>Name of Austrian 
team member</t>
  </si>
  <si>
    <t>Sum</t>
  </si>
  <si>
    <t>Type of material</t>
  </si>
  <si>
    <t>Travel  to</t>
  </si>
  <si>
    <t>Mobility in (year)</t>
  </si>
  <si>
    <t>Costs in (year)</t>
  </si>
  <si>
    <t>estimated duration of stay days/months</t>
  </si>
  <si>
    <t>Estimated total costs of the project **</t>
  </si>
  <si>
    <t>* if essential for achieving the project's objectives; consumables</t>
  </si>
  <si>
    <t>Material costs of the project *</t>
  </si>
  <si>
    <t xml:space="preserve">total costs </t>
  </si>
  <si>
    <t>total costs</t>
  </si>
  <si>
    <t>OUTGOING (Austria to partner country)</t>
  </si>
  <si>
    <t xml:space="preserve">Total amount requested </t>
  </si>
  <si>
    <r>
      <t xml:space="preserve">** The </t>
    </r>
    <r>
      <rPr>
        <b/>
        <sz val="11"/>
        <color theme="1"/>
        <rFont val="Calibri"/>
        <family val="2"/>
      </rPr>
      <t>Estimated total costs of the project</t>
    </r>
    <r>
      <rPr>
        <sz val="11"/>
        <color theme="1"/>
        <rFont val="Calibri"/>
        <family val="2"/>
      </rPr>
      <t xml:space="preserve"> must be at least as high as the </t>
    </r>
    <r>
      <rPr>
        <b/>
        <sz val="11"/>
        <color theme="1"/>
        <rFont val="Calibri"/>
        <family val="2"/>
      </rPr>
      <t xml:space="preserve">Total amount requested 
</t>
    </r>
    <r>
      <rPr>
        <sz val="11"/>
        <color theme="1"/>
        <rFont val="Calibri"/>
        <family val="2"/>
      </rPr>
      <t xml:space="preserve">
In case the estimated total costs of the project are higher than the total amount requested - which is assumed - please briefly state who pays the difference to cover the costs (multiple entries possible): 
a) the partner university 
b) the Austrian partner university from its own resources 
c) the project participants privately 
d) further funding 
e) ...................</t>
    </r>
  </si>
  <si>
    <t>Version 20250217</t>
  </si>
  <si>
    <r>
      <t xml:space="preserve">Funding of travel costs
</t>
    </r>
    <r>
      <rPr>
        <sz val="10"/>
        <color theme="1"/>
        <rFont val="Calibri"/>
        <family val="2"/>
      </rPr>
      <t>max. €1.200</t>
    </r>
  </si>
  <si>
    <t>Financing Plan of the S&amp;T Cooperation WTZ 2027-2029</t>
  </si>
  <si>
    <t xml:space="preserve">AT Budget: min € 5.000, max € 10.000 </t>
  </si>
  <si>
    <r>
      <t>Funding of accommodation costs:</t>
    </r>
    <r>
      <rPr>
        <sz val="10"/>
        <color theme="1"/>
        <rFont val="Calibri"/>
        <family val="2"/>
      </rPr>
      <t xml:space="preserve"> €120/per working day, 
€1.440/per month</t>
    </r>
  </si>
  <si>
    <t>Partner country: Bosnia and Herzegovina</t>
  </si>
  <si>
    <t>Bosnia and Herzegovina</t>
  </si>
  <si>
    <t>Project Titel: Hybridizing Metaheuristics with Generative AI Techniques for Selected Graph Problems</t>
  </si>
  <si>
    <t>Project Coordinator AT: ao.Univ.-Prof. Dr. Günther Raidl</t>
  </si>
  <si>
    <t>None</t>
  </si>
  <si>
    <t>Günther Raidl</t>
  </si>
  <si>
    <t>Maria Bresich</t>
  </si>
  <si>
    <t>Laurenz Tomandl</t>
  </si>
  <si>
    <t>Martin Wustinger</t>
  </si>
  <si>
    <t>6 working days</t>
  </si>
  <si>
    <t>3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</si>
</sst>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rgb="FFFF0000"/>
      <name val="Calibri"/>
      <family val="2"/>
    </font>
    <font>
      <i/>
      <sz val="11"/>
      <color theme="1"/>
      <name val="Calibri"/>
      <family val="2"/>
    </font>
    <font>
      <b/>
      <sz val="18"/>
      <color theme="1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3" fillId="4" borderId="0" xfId="0" applyFont="1" applyFill="1"/>
    <xf numFmtId="0" fontId="4" fillId="4" borderId="0" xfId="0" applyFont="1" applyFill="1"/>
    <xf numFmtId="0" fontId="1" fillId="6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3" fontId="8" fillId="2" borderId="5" xfId="0" applyNumberFormat="1" applyFont="1" applyFill="1" applyBorder="1"/>
    <xf numFmtId="0" fontId="1" fillId="2" borderId="4" xfId="0" applyFont="1" applyFill="1" applyBorder="1" applyAlignment="1">
      <alignment horizontal="left" wrapText="1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29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3" fontId="1" fillId="2" borderId="12" xfId="0" applyNumberFormat="1" applyFont="1" applyFill="1" applyBorder="1"/>
    <xf numFmtId="3" fontId="1" fillId="2" borderId="28" xfId="0" applyNumberFormat="1" applyFont="1" applyFill="1" applyBorder="1"/>
    <xf numFmtId="0" fontId="8" fillId="8" borderId="16" xfId="0" applyFont="1" applyFill="1" applyBorder="1"/>
    <xf numFmtId="3" fontId="8" fillId="8" borderId="17" xfId="0" applyNumberFormat="1" applyFont="1" applyFill="1" applyBorder="1" applyAlignment="1">
      <alignment horizontal="center"/>
    </xf>
    <xf numFmtId="3" fontId="8" fillId="8" borderId="18" xfId="0" applyNumberFormat="1" applyFont="1" applyFill="1" applyBorder="1"/>
    <xf numFmtId="3" fontId="0" fillId="8" borderId="12" xfId="0" applyNumberFormat="1" applyFill="1" applyBorder="1"/>
    <xf numFmtId="0" fontId="7" fillId="2" borderId="9" xfId="0" applyFont="1" applyFill="1" applyBorder="1" applyAlignment="1">
      <alignment horizontal="left"/>
    </xf>
    <xf numFmtId="0" fontId="7" fillId="2" borderId="11" xfId="0" applyFont="1" applyFill="1" applyBorder="1"/>
    <xf numFmtId="0" fontId="7" fillId="2" borderId="15" xfId="0" applyFont="1" applyFill="1" applyBorder="1"/>
    <xf numFmtId="0" fontId="7" fillId="2" borderId="23" xfId="0" applyFont="1" applyFill="1" applyBorder="1"/>
    <xf numFmtId="0" fontId="8" fillId="8" borderId="36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left"/>
    </xf>
    <xf numFmtId="0" fontId="8" fillId="8" borderId="38" xfId="0" applyFont="1" applyFill="1" applyBorder="1"/>
    <xf numFmtId="0" fontId="1" fillId="3" borderId="39" xfId="0" applyFont="1" applyFill="1" applyBorder="1" applyAlignment="1">
      <alignment horizontal="left" vertical="top" wrapText="1"/>
    </xf>
    <xf numFmtId="0" fontId="1" fillId="0" borderId="14" xfId="0" applyFont="1" applyBorder="1" applyAlignment="1">
      <alignment horizontal="right"/>
    </xf>
    <xf numFmtId="0" fontId="1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8" borderId="39" xfId="0" applyFont="1" applyFill="1" applyBorder="1" applyAlignment="1">
      <alignment horizontal="right"/>
    </xf>
    <xf numFmtId="0" fontId="7" fillId="2" borderId="15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3" fontId="8" fillId="8" borderId="35" xfId="0" applyNumberFormat="1" applyFont="1" applyFill="1" applyBorder="1" applyAlignment="1">
      <alignment horizontal="right"/>
    </xf>
    <xf numFmtId="0" fontId="8" fillId="8" borderId="14" xfId="0" applyFont="1" applyFill="1" applyBorder="1" applyAlignment="1">
      <alignment horizontal="right"/>
    </xf>
    <xf numFmtId="3" fontId="8" fillId="2" borderId="5" xfId="0" applyNumberFormat="1" applyFont="1" applyFill="1" applyBorder="1" applyAlignment="1">
      <alignment horizontal="right"/>
    </xf>
    <xf numFmtId="0" fontId="0" fillId="8" borderId="4" xfId="0" applyFill="1" applyBorder="1" applyAlignment="1">
      <alignment horizontal="right"/>
    </xf>
    <xf numFmtId="3" fontId="7" fillId="2" borderId="8" xfId="0" applyNumberFormat="1" applyFont="1" applyFill="1" applyBorder="1" applyAlignment="1">
      <alignment horizontal="right"/>
    </xf>
    <xf numFmtId="3" fontId="8" fillId="6" borderId="1" xfId="0" applyNumberFormat="1" applyFont="1" applyFill="1" applyBorder="1" applyAlignment="1">
      <alignment horizontal="left" wrapText="1"/>
    </xf>
    <xf numFmtId="3" fontId="8" fillId="3" borderId="10" xfId="0" applyNumberFormat="1" applyFont="1" applyFill="1" applyBorder="1" applyAlignment="1">
      <alignment horizontal="left"/>
    </xf>
    <xf numFmtId="3" fontId="0" fillId="6" borderId="1" xfId="0" applyNumberFormat="1" applyFill="1" applyBorder="1" applyAlignment="1">
      <alignment horizontal="left"/>
    </xf>
    <xf numFmtId="3" fontId="0" fillId="3" borderId="1" xfId="0" applyNumberFormat="1" applyFill="1" applyBorder="1" applyAlignment="1">
      <alignment horizontal="left"/>
    </xf>
    <xf numFmtId="3" fontId="0" fillId="6" borderId="7" xfId="0" applyNumberFormat="1" applyFill="1" applyBorder="1" applyAlignment="1">
      <alignment horizontal="left"/>
    </xf>
    <xf numFmtId="0" fontId="1" fillId="5" borderId="2" xfId="0" applyFont="1" applyFill="1" applyBorder="1" applyAlignment="1">
      <alignment horizontal="left" vertical="top" wrapText="1"/>
    </xf>
    <xf numFmtId="0" fontId="0" fillId="7" borderId="27" xfId="0" applyFill="1" applyBorder="1"/>
    <xf numFmtId="0" fontId="0" fillId="7" borderId="25" xfId="0" applyFill="1" applyBorder="1"/>
    <xf numFmtId="0" fontId="0" fillId="7" borderId="40" xfId="0" applyFill="1" applyBorder="1"/>
    <xf numFmtId="0" fontId="1" fillId="7" borderId="37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8" fillId="7" borderId="21" xfId="0" applyFont="1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36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0" fillId="0" borderId="1" xfId="0" applyBorder="1"/>
    <xf numFmtId="0" fontId="0" fillId="7" borderId="17" xfId="0" applyFill="1" applyBorder="1" applyAlignment="1">
      <alignment horizontal="left"/>
    </xf>
    <xf numFmtId="3" fontId="0" fillId="3" borderId="17" xfId="0" applyNumberFormat="1" applyFill="1" applyBorder="1" applyAlignment="1">
      <alignment horizontal="left"/>
    </xf>
    <xf numFmtId="0" fontId="8" fillId="8" borderId="13" xfId="0" applyFont="1" applyFill="1" applyBorder="1"/>
    <xf numFmtId="0" fontId="8" fillId="8" borderId="14" xfId="0" applyFont="1" applyFill="1" applyBorder="1"/>
    <xf numFmtId="0" fontId="0" fillId="0" borderId="1" xfId="0" applyBorder="1" applyAlignment="1">
      <alignment horizontal="left" vertical="center" wrapText="1"/>
    </xf>
    <xf numFmtId="0" fontId="0" fillId="8" borderId="26" xfId="0" applyFill="1" applyBorder="1" applyAlignment="1">
      <alignment vertical="center" wrapText="1"/>
    </xf>
    <xf numFmtId="0" fontId="0" fillId="8" borderId="24" xfId="0" applyFill="1" applyBorder="1" applyAlignment="1">
      <alignment vertical="center" wrapText="1"/>
    </xf>
    <xf numFmtId="0" fontId="0" fillId="8" borderId="30" xfId="0" applyFill="1" applyBorder="1" applyAlignment="1">
      <alignment vertical="center" wrapText="1"/>
    </xf>
    <xf numFmtId="0" fontId="8" fillId="8" borderId="10" xfId="0" applyFont="1" applyFill="1" applyBorder="1" applyAlignment="1">
      <alignment horizontal="center"/>
    </xf>
    <xf numFmtId="0" fontId="8" fillId="8" borderId="21" xfId="0" applyFont="1" applyFill="1" applyBorder="1" applyAlignment="1">
      <alignment horizontal="center"/>
    </xf>
    <xf numFmtId="0" fontId="0" fillId="7" borderId="33" xfId="0" applyFill="1" applyBorder="1"/>
    <xf numFmtId="0" fontId="0" fillId="7" borderId="20" xfId="0" applyFill="1" applyBorder="1"/>
    <xf numFmtId="0" fontId="0" fillId="7" borderId="34" xfId="0" applyFill="1" applyBorder="1"/>
    <xf numFmtId="0" fontId="4" fillId="0" borderId="14" xfId="0" applyFont="1" applyBorder="1" applyAlignment="1">
      <alignment horizontal="center"/>
    </xf>
    <xf numFmtId="0" fontId="9" fillId="7" borderId="31" xfId="0" applyFont="1" applyFill="1" applyBorder="1" applyAlignment="1">
      <alignment vertical="center" wrapText="1"/>
    </xf>
    <xf numFmtId="0" fontId="6" fillId="7" borderId="19" xfId="0" applyFont="1" applyFill="1" applyBorder="1" applyAlignment="1">
      <alignment vertical="center" wrapText="1"/>
    </xf>
    <xf numFmtId="0" fontId="6" fillId="7" borderId="19" xfId="0" applyFont="1" applyFill="1" applyBorder="1" applyAlignment="1">
      <alignment vertical="center"/>
    </xf>
    <xf numFmtId="0" fontId="6" fillId="7" borderId="32" xfId="0" applyFont="1" applyFill="1" applyBorder="1" applyAlignment="1">
      <alignment vertical="center"/>
    </xf>
    <xf numFmtId="0" fontId="0" fillId="7" borderId="33" xfId="0" applyFill="1" applyBorder="1" applyAlignment="1">
      <alignment horizontal="left"/>
    </xf>
    <xf numFmtId="0" fontId="0" fillId="7" borderId="20" xfId="0" applyFill="1" applyBorder="1" applyAlignment="1">
      <alignment horizontal="left"/>
    </xf>
    <xf numFmtId="0" fontId="0" fillId="7" borderId="34" xfId="0" applyFill="1" applyBorder="1" applyAlignment="1">
      <alignment horizontal="left"/>
    </xf>
    <xf numFmtId="0" fontId="1" fillId="7" borderId="39" xfId="0" applyFont="1" applyFill="1" applyBorder="1" applyAlignment="1">
      <alignment horizontal="left" vertical="top"/>
    </xf>
    <xf numFmtId="0" fontId="1" fillId="7" borderId="19" xfId="0" applyFont="1" applyFill="1" applyBorder="1" applyAlignment="1">
      <alignment horizontal="left" vertical="top"/>
    </xf>
    <xf numFmtId="0" fontId="1" fillId="7" borderId="37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left"/>
    </xf>
    <xf numFmtId="0" fontId="1" fillId="8" borderId="37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8" fillId="7" borderId="10" xfId="0" applyFont="1" applyFill="1" applyBorder="1"/>
    <xf numFmtId="0" fontId="8" fillId="7" borderId="20" xfId="0" applyFont="1" applyFill="1" applyBorder="1"/>
    <xf numFmtId="0" fontId="8" fillId="7" borderId="2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283482</xdr:colOff>
      <xdr:row>0</xdr:row>
      <xdr:rowOff>0</xdr:rowOff>
    </xdr:from>
    <xdr:to>
      <xdr:col>8</xdr:col>
      <xdr:colOff>0</xdr:colOff>
      <xdr:row>1</xdr:row>
      <xdr:rowOff>58569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DAC0412-2E16-53DC-C6A3-8489408F1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7411" y="0"/>
          <a:ext cx="1564821" cy="78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CD6D-8101-4DE6-AC99-D3EE6D80B82E}">
  <sheetPr>
    <pageSetUpPr fitToPage="1"/>
  </sheetPr>
  <dimension ref="A1:K32"/>
  <sheetViews>
    <sheetView tabSelected="1" topLeftCell="A5" zoomScale="84" zoomScaleNormal="84" workbookViewId="0">
      <selection activeCell="H8" sqref="H8"/>
    </sheetView>
  </sheetViews>
  <sheetFormatPr baseColWidth="10" defaultColWidth="25.6640625" defaultRowHeight="14.4" x14ac:dyDescent="0.3"/>
  <cols>
    <col min="1" max="1" width="27.88671875" customWidth="1"/>
    <col min="2" max="2" width="11.44140625" customWidth="1"/>
    <col min="3" max="3" width="22.6640625" customWidth="1"/>
    <col min="4" max="4" width="18.109375" customWidth="1"/>
    <col min="5" max="5" width="22.6640625" customWidth="1"/>
    <col min="6" max="6" width="28.33203125" customWidth="1"/>
    <col min="7" max="7" width="15.44140625" style="33" customWidth="1"/>
    <col min="8" max="8" width="12.33203125" customWidth="1"/>
  </cols>
  <sheetData>
    <row r="1" spans="1:11" s="3" customFormat="1" ht="57.75" customHeight="1" x14ac:dyDescent="0.35">
      <c r="A1" s="76" t="s">
        <v>18</v>
      </c>
      <c r="B1" s="77"/>
      <c r="C1" s="78"/>
      <c r="D1" s="78"/>
      <c r="E1" s="78"/>
      <c r="F1" s="78"/>
      <c r="G1" s="78"/>
      <c r="H1" s="79"/>
      <c r="J1"/>
    </row>
    <row r="2" spans="1:11" ht="24" customHeight="1" x14ac:dyDescent="0.3">
      <c r="A2" s="80" t="s">
        <v>23</v>
      </c>
      <c r="B2" s="81"/>
      <c r="C2" s="81"/>
      <c r="D2" s="81"/>
      <c r="E2" s="81"/>
      <c r="F2" s="81"/>
      <c r="G2" s="81"/>
      <c r="H2" s="82"/>
      <c r="K2" s="15"/>
    </row>
    <row r="3" spans="1:11" ht="21.75" customHeight="1" x14ac:dyDescent="0.3">
      <c r="A3" s="72" t="s">
        <v>24</v>
      </c>
      <c r="B3" s="73"/>
      <c r="C3" s="73"/>
      <c r="D3" s="73"/>
      <c r="E3" s="73"/>
      <c r="F3" s="73"/>
      <c r="G3" s="73"/>
      <c r="H3" s="74"/>
    </row>
    <row r="4" spans="1:11" ht="21.75" customHeight="1" thickBot="1" x14ac:dyDescent="0.35">
      <c r="A4" s="48" t="s">
        <v>21</v>
      </c>
      <c r="B4" s="49"/>
      <c r="C4" s="49"/>
      <c r="D4" s="49"/>
      <c r="E4" s="49"/>
      <c r="F4" s="49"/>
      <c r="G4" s="49"/>
      <c r="H4" s="50"/>
    </row>
    <row r="5" spans="1:11" ht="21.75" customHeight="1" thickBot="1" x14ac:dyDescent="0.35">
      <c r="A5" s="48" t="s">
        <v>19</v>
      </c>
      <c r="B5" s="49"/>
      <c r="C5" s="49"/>
      <c r="D5" s="49"/>
      <c r="E5" s="49"/>
      <c r="F5" s="49"/>
      <c r="G5" s="49"/>
      <c r="H5" s="50"/>
    </row>
    <row r="6" spans="1:11" ht="9" customHeight="1" thickBot="1" x14ac:dyDescent="0.35">
      <c r="A6" s="75"/>
      <c r="B6" s="75"/>
      <c r="C6" s="75"/>
      <c r="D6" s="75"/>
      <c r="E6" s="75"/>
      <c r="F6" s="75"/>
      <c r="G6" s="75"/>
      <c r="H6" s="75"/>
    </row>
    <row r="7" spans="1:11" s="1" customFormat="1" ht="60.75" customHeight="1" x14ac:dyDescent="0.3">
      <c r="A7" s="47" t="s">
        <v>13</v>
      </c>
      <c r="B7" s="51" t="s">
        <v>5</v>
      </c>
      <c r="C7" s="52" t="s">
        <v>1</v>
      </c>
      <c r="D7" s="7" t="s">
        <v>17</v>
      </c>
      <c r="E7" s="7" t="s">
        <v>4</v>
      </c>
      <c r="F7" s="8" t="s">
        <v>20</v>
      </c>
      <c r="G7" s="29" t="s">
        <v>7</v>
      </c>
      <c r="H7" s="9" t="s">
        <v>11</v>
      </c>
      <c r="I7"/>
      <c r="J7"/>
    </row>
    <row r="8" spans="1:11" ht="20.100000000000001" customHeight="1" x14ac:dyDescent="0.3">
      <c r="A8" s="59">
        <v>1</v>
      </c>
      <c r="B8" s="54">
        <v>2027</v>
      </c>
      <c r="C8" s="55" t="s">
        <v>26</v>
      </c>
      <c r="D8" s="44">
        <v>300</v>
      </c>
      <c r="E8" s="42" t="s">
        <v>22</v>
      </c>
      <c r="F8" s="45">
        <v>360</v>
      </c>
      <c r="G8" s="43" t="s">
        <v>31</v>
      </c>
      <c r="H8" s="39">
        <f t="shared" ref="H8:H14" si="0">SUM(D8+F8)</f>
        <v>660</v>
      </c>
    </row>
    <row r="9" spans="1:11" ht="20.100000000000001" customHeight="1" x14ac:dyDescent="0.3">
      <c r="A9" s="59">
        <v>2</v>
      </c>
      <c r="B9" s="54">
        <v>2027</v>
      </c>
      <c r="C9" s="55" t="s">
        <v>27</v>
      </c>
      <c r="D9" s="44">
        <v>600</v>
      </c>
      <c r="E9" s="42" t="s">
        <v>22</v>
      </c>
      <c r="F9" s="45">
        <v>720</v>
      </c>
      <c r="G9" s="43" t="s">
        <v>30</v>
      </c>
      <c r="H9" s="39">
        <f t="shared" si="0"/>
        <v>1320</v>
      </c>
    </row>
    <row r="10" spans="1:11" ht="20.100000000000001" customHeight="1" x14ac:dyDescent="0.3">
      <c r="A10" s="59">
        <v>3</v>
      </c>
      <c r="B10" s="54">
        <v>2027</v>
      </c>
      <c r="C10" s="55" t="s">
        <v>28</v>
      </c>
      <c r="D10" s="44">
        <v>300</v>
      </c>
      <c r="E10" s="42" t="s">
        <v>22</v>
      </c>
      <c r="F10" s="45">
        <v>360</v>
      </c>
      <c r="G10" s="43" t="s">
        <v>31</v>
      </c>
      <c r="H10" s="39">
        <f t="shared" si="0"/>
        <v>660</v>
      </c>
    </row>
    <row r="11" spans="1:11" ht="20.100000000000001" customHeight="1" x14ac:dyDescent="0.3">
      <c r="A11" s="59">
        <v>4</v>
      </c>
      <c r="B11" s="54">
        <v>2027</v>
      </c>
      <c r="C11" s="55" t="s">
        <v>29</v>
      </c>
      <c r="D11" s="44">
        <v>600</v>
      </c>
      <c r="E11" s="42" t="s">
        <v>22</v>
      </c>
      <c r="F11" s="45">
        <v>720</v>
      </c>
      <c r="G11" s="43" t="s">
        <v>30</v>
      </c>
      <c r="H11" s="39">
        <f t="shared" si="0"/>
        <v>1320</v>
      </c>
    </row>
    <row r="12" spans="1:11" ht="20.100000000000001" customHeight="1" x14ac:dyDescent="0.3">
      <c r="A12" s="59">
        <v>5</v>
      </c>
      <c r="B12" s="58">
        <v>2028</v>
      </c>
      <c r="C12" s="62" t="s">
        <v>26</v>
      </c>
      <c r="D12" s="44">
        <v>300</v>
      </c>
      <c r="E12" s="42" t="s">
        <v>22</v>
      </c>
      <c r="F12" s="63">
        <v>360</v>
      </c>
      <c r="G12" s="43" t="s">
        <v>31</v>
      </c>
      <c r="H12" s="39">
        <f t="shared" si="0"/>
        <v>660</v>
      </c>
    </row>
    <row r="13" spans="1:11" ht="20.100000000000001" customHeight="1" thickBot="1" x14ac:dyDescent="0.35">
      <c r="A13" s="59">
        <v>6</v>
      </c>
      <c r="B13" s="58">
        <v>2028</v>
      </c>
      <c r="C13" s="57" t="s">
        <v>27</v>
      </c>
      <c r="D13" s="44">
        <v>300</v>
      </c>
      <c r="E13" s="42" t="s">
        <v>22</v>
      </c>
      <c r="F13" s="63">
        <v>360</v>
      </c>
      <c r="G13" s="43" t="s">
        <v>31</v>
      </c>
      <c r="H13" s="39">
        <f t="shared" si="0"/>
        <v>660</v>
      </c>
    </row>
    <row r="14" spans="1:11" ht="20.100000000000001" customHeight="1" thickBot="1" x14ac:dyDescent="0.35">
      <c r="A14" s="59">
        <v>8</v>
      </c>
      <c r="B14" s="56">
        <v>2028</v>
      </c>
      <c r="C14" s="55" t="s">
        <v>29</v>
      </c>
      <c r="D14" s="44">
        <v>600</v>
      </c>
      <c r="E14" s="46" t="s">
        <v>22</v>
      </c>
      <c r="F14" s="63">
        <v>720</v>
      </c>
      <c r="G14" s="43" t="s">
        <v>30</v>
      </c>
      <c r="H14" s="39">
        <f t="shared" si="0"/>
        <v>1320</v>
      </c>
    </row>
    <row r="15" spans="1:11" ht="20.100000000000001" customHeight="1" thickBot="1" x14ac:dyDescent="0.35">
      <c r="A15" s="89" t="s">
        <v>2</v>
      </c>
      <c r="B15" s="90"/>
      <c r="C15" s="90"/>
      <c r="D15" s="90"/>
      <c r="E15" s="90"/>
      <c r="F15" s="91"/>
      <c r="G15" s="30"/>
      <c r="H15" s="16">
        <f>SUM(H8:H14)</f>
        <v>6600</v>
      </c>
    </row>
    <row r="16" spans="1:11" ht="12" customHeight="1" thickBot="1" x14ac:dyDescent="0.35">
      <c r="A16" s="14"/>
      <c r="B16" s="12"/>
      <c r="C16" s="12"/>
      <c r="D16" s="12"/>
      <c r="E16" s="12"/>
      <c r="F16" s="13"/>
      <c r="G16" s="31"/>
      <c r="H16" s="13"/>
    </row>
    <row r="17" spans="1:8" ht="45" customHeight="1" x14ac:dyDescent="0.3">
      <c r="A17" s="47" t="s">
        <v>10</v>
      </c>
      <c r="B17" s="51" t="s">
        <v>6</v>
      </c>
      <c r="C17" s="83" t="s">
        <v>3</v>
      </c>
      <c r="D17" s="84"/>
      <c r="E17" s="84"/>
      <c r="F17" s="84"/>
      <c r="G17" s="85"/>
      <c r="H17" s="11" t="s">
        <v>12</v>
      </c>
    </row>
    <row r="18" spans="1:8" ht="20.100000000000001" customHeight="1" thickBot="1" x14ac:dyDescent="0.35">
      <c r="A18" s="60" t="s">
        <v>25</v>
      </c>
      <c r="B18" s="53"/>
      <c r="C18" s="93"/>
      <c r="D18" s="94"/>
      <c r="E18" s="94"/>
      <c r="F18" s="94"/>
      <c r="G18" s="95"/>
      <c r="H18" s="10"/>
    </row>
    <row r="19" spans="1:8" ht="20.100000000000001" customHeight="1" thickBot="1" x14ac:dyDescent="0.35">
      <c r="A19" s="89" t="s">
        <v>2</v>
      </c>
      <c r="B19" s="90"/>
      <c r="C19" s="90"/>
      <c r="D19" s="90"/>
      <c r="E19" s="90"/>
      <c r="F19" s="90"/>
      <c r="G19" s="91"/>
      <c r="H19" s="17">
        <f>SUM(0)</f>
        <v>0</v>
      </c>
    </row>
    <row r="20" spans="1:8" ht="12" customHeight="1" x14ac:dyDescent="0.3">
      <c r="A20" s="92"/>
      <c r="B20" s="92"/>
      <c r="C20" s="92"/>
      <c r="D20" s="92"/>
      <c r="E20" s="92"/>
      <c r="F20" s="92"/>
      <c r="G20" s="92"/>
      <c r="H20" s="92"/>
    </row>
    <row r="21" spans="1:8" ht="11.25" customHeight="1" thickBot="1" x14ac:dyDescent="0.35">
      <c r="A21" s="5"/>
      <c r="B21" s="5"/>
      <c r="C21" s="6"/>
      <c r="D21" s="6"/>
      <c r="E21" s="6"/>
      <c r="F21" s="6"/>
      <c r="G21" s="32"/>
      <c r="H21" s="2"/>
    </row>
    <row r="22" spans="1:8" ht="15" hidden="1" thickBot="1" x14ac:dyDescent="0.35"/>
    <row r="23" spans="1:8" ht="21" customHeight="1" x14ac:dyDescent="0.3">
      <c r="A23" s="86" t="s">
        <v>8</v>
      </c>
      <c r="B23" s="87"/>
      <c r="C23" s="88"/>
      <c r="D23" s="88"/>
      <c r="E23" s="88"/>
      <c r="F23" s="88"/>
      <c r="G23" s="34"/>
      <c r="H23" s="40"/>
    </row>
    <row r="24" spans="1:8" ht="21" customHeight="1" thickBot="1" x14ac:dyDescent="0.35">
      <c r="A24" s="22" t="s">
        <v>14</v>
      </c>
      <c r="B24" s="27"/>
      <c r="C24" s="23"/>
      <c r="D24" s="24"/>
      <c r="E24" s="24"/>
      <c r="F24" s="25"/>
      <c r="G24" s="35"/>
      <c r="H24" s="41">
        <f>SUM(H15+H19)</f>
        <v>6600</v>
      </c>
    </row>
    <row r="25" spans="1:8" ht="9" customHeight="1" x14ac:dyDescent="0.3">
      <c r="A25" s="2"/>
      <c r="B25" s="2"/>
      <c r="C25" s="2"/>
      <c r="D25" s="2"/>
      <c r="E25" s="2"/>
      <c r="F25" s="2"/>
      <c r="G25" s="36"/>
      <c r="H25" s="2"/>
    </row>
    <row r="26" spans="1:8" ht="24.75" customHeight="1" x14ac:dyDescent="0.3">
      <c r="A26" s="66" t="s">
        <v>9</v>
      </c>
      <c r="B26" s="66"/>
      <c r="C26" s="66"/>
      <c r="D26" s="66"/>
      <c r="E26" s="66"/>
      <c r="F26" s="66"/>
      <c r="G26" s="66"/>
      <c r="H26" s="66"/>
    </row>
    <row r="27" spans="1:8" ht="9" customHeight="1" thickBot="1" x14ac:dyDescent="0.35">
      <c r="D27" s="4"/>
      <c r="E27" s="4"/>
    </row>
    <row r="28" spans="1:8" ht="159" customHeight="1" x14ac:dyDescent="0.3">
      <c r="A28" s="67" t="s">
        <v>15</v>
      </c>
      <c r="B28" s="68"/>
      <c r="C28" s="68"/>
      <c r="D28" s="68"/>
      <c r="E28" s="68"/>
      <c r="F28" s="68"/>
      <c r="G28" s="68"/>
      <c r="H28" s="69"/>
    </row>
    <row r="29" spans="1:8" ht="19.5" customHeight="1" thickBot="1" x14ac:dyDescent="0.35">
      <c r="A29" s="18" t="s">
        <v>0</v>
      </c>
      <c r="B29" s="28"/>
      <c r="C29" s="70"/>
      <c r="D29" s="71"/>
      <c r="E29" s="26"/>
      <c r="F29" s="19"/>
      <c r="G29" s="37"/>
      <c r="H29" s="20"/>
    </row>
    <row r="30" spans="1:8" ht="19.5" customHeight="1" thickBot="1" x14ac:dyDescent="0.35">
      <c r="A30" s="64" t="s">
        <v>2</v>
      </c>
      <c r="B30" s="65"/>
      <c r="C30" s="65"/>
      <c r="D30" s="65"/>
      <c r="E30" s="65"/>
      <c r="F30" s="65"/>
      <c r="G30" s="38"/>
      <c r="H30" s="21">
        <f>SUM(H29:H29)</f>
        <v>0</v>
      </c>
    </row>
    <row r="32" spans="1:8" x14ac:dyDescent="0.3">
      <c r="A32" s="61" t="s">
        <v>16</v>
      </c>
    </row>
  </sheetData>
  <mergeCells count="14">
    <mergeCell ref="A23:F23"/>
    <mergeCell ref="A15:F15"/>
    <mergeCell ref="A20:H20"/>
    <mergeCell ref="C18:G18"/>
    <mergeCell ref="A19:G19"/>
    <mergeCell ref="A3:H3"/>
    <mergeCell ref="A6:H6"/>
    <mergeCell ref="A1:H1"/>
    <mergeCell ref="A2:H2"/>
    <mergeCell ref="C17:G17"/>
    <mergeCell ref="A30:F30"/>
    <mergeCell ref="A26:H26"/>
    <mergeCell ref="A28:H28"/>
    <mergeCell ref="C29:D29"/>
  </mergeCells>
  <phoneticPr fontId="2" type="noConversion"/>
  <pageMargins left="0.25" right="0.25" top="0.75" bottom="0.75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Scheibelreiter, Isabella</dc:creator>
  <cp:lastModifiedBy>Raidl, Günther</cp:lastModifiedBy>
  <cp:lastPrinted>2024-07-29T11:58:22Z</cp:lastPrinted>
  <dcterms:created xsi:type="dcterms:W3CDTF">2024-02-02T13:37:20Z</dcterms:created>
  <dcterms:modified xsi:type="dcterms:W3CDTF">2026-10-28T15:31:58Z</dcterms:modified>
</cp:coreProperties>
</file>